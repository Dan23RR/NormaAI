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usion Matrix" sheetId="1" state="visible" r:id="rId3"/>
    <sheet name="Dashboard" sheetId="2" state="visible" r:id="rId4"/>
    <sheet name="Profiles" sheetId="3" state="visible" r:id="rId5"/>
    <sheet name="Legend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<sst xmlns="http://schemas.openxmlformats.org/spreadsheetml/2006/main" count="287" uniqueCount="180">
  <si>
    <t xml:space="preserve">NormaAI Validation Framework — Confusion Matrix</t>
  </si>
  <si>
    <t xml:space="preserve">Inserire manualmente il risultato nella colonna 'Classification' dopo ogni test run</t>
  </si>
  <si>
    <t xml:space="preserve">Test ID</t>
  </si>
  <si>
    <t xml:space="preserve">Company</t>
  </si>
  <si>
    <t xml:space="preserve">Framework</t>
  </si>
  <si>
    <t xml:space="preserve">Injected Gap</t>
  </si>
  <si>
    <t xml:space="preserve">Expected Article</t>
  </si>
  <si>
    <t xml:space="preserve">Expected Severity</t>
  </si>
  <si>
    <t xml:space="preserve">Difficulty</t>
  </si>
  <si>
    <t xml:space="preserve">Classification</t>
  </si>
  <si>
    <t xml:space="preserve">Match Score</t>
  </si>
  <si>
    <t xml:space="preserve">Keyword Score</t>
  </si>
  <si>
    <t xml:space="preserve">Article Score</t>
  </si>
  <si>
    <t xml:space="preserve">Matched Articles</t>
  </si>
  <si>
    <t xml:space="preserve">Hallucinations (FP)</t>
  </si>
  <si>
    <t xml:space="preserve">Notes</t>
  </si>
  <si>
    <t xml:space="preserve">A-CSDDD-01</t>
  </si>
  <si>
    <t xml:space="preserve">StahlWerk Industries GmbH</t>
  </si>
  <si>
    <t xml:space="preserve">CSDDD</t>
  </si>
  <si>
    <t xml:space="preserve">No human rights due diligence beyond tier-1 suppliers</t>
  </si>
  <si>
    <t xml:space="preserve">Art. 7-8 CSDDD (Directive 2024/1760)</t>
  </si>
  <si>
    <t xml:space="preserve">NON_COMPLIANT</t>
  </si>
  <si>
    <t xml:space="preserve">EASY</t>
  </si>
  <si>
    <t xml:space="preserve">A-CSDDD-02</t>
  </si>
  <si>
    <t xml:space="preserve">No grievance mechanism for supply chain workers</t>
  </si>
  <si>
    <t xml:space="preserve">Art. 14 CSDDD (Directive 2024/1760)</t>
  </si>
  <si>
    <t xml:space="preserve">A-CSRD-01</t>
  </si>
  <si>
    <t xml:space="preserve">CSRD</t>
  </si>
  <si>
    <t xml:space="preserve">No Scope 3 emissions reporting</t>
  </si>
  <si>
    <t xml:space="preserve">ESRS E1-6 (Climate Change — GHG Emissions)</t>
  </si>
  <si>
    <t xml:space="preserve">A-CSRD-02</t>
  </si>
  <si>
    <t xml:space="preserve">No double materiality assessment conducted</t>
  </si>
  <si>
    <t xml:space="preserve">ESRS 1 Chapter 3 (Double Materiality)</t>
  </si>
  <si>
    <t xml:space="preserve">MEDIUM</t>
  </si>
  <si>
    <t xml:space="preserve">B-AIACT-01</t>
  </si>
  <si>
    <t xml:space="preserve">VisionGuard SAS</t>
  </si>
  <si>
    <t xml:space="preserve">AI_ACT</t>
  </si>
  <si>
    <t xml:space="preserve">Biometric categorization system without AI Act compliance</t>
  </si>
  <si>
    <t xml:space="preserve">Art. 6(2) + Annex III(1) AI Act (Reg. 2024/1689)</t>
  </si>
  <si>
    <t xml:space="preserve">B-AIACT-02</t>
  </si>
  <si>
    <t xml:space="preserve">No AI impact assessment or technical documentation</t>
  </si>
  <si>
    <t xml:space="preserve">Art. 9, 11, 13 AI Act (Reg. 2024/1689)</t>
  </si>
  <si>
    <t xml:space="preserve">B-AIACT-03</t>
  </si>
  <si>
    <t xml:space="preserve">No human oversight on automated disciplinary decisions</t>
  </si>
  <si>
    <t xml:space="preserve">Art. 14 AI Act (Reg. 2024/1689)</t>
  </si>
  <si>
    <t xml:space="preserve">B-GDPR-01</t>
  </si>
  <si>
    <t xml:space="preserve">GDPR</t>
  </si>
  <si>
    <t xml:space="preserve">Biometric data processing without valid consent (Art. 9)</t>
  </si>
  <si>
    <t xml:space="preserve">Art. 9(2)(a) GDPR + Art. 7 (Conditions for consent)</t>
  </si>
  <si>
    <t xml:space="preserve">B-GDPR-02</t>
  </si>
  <si>
    <t xml:space="preserve">Data transfer to US without adequate safeguards (SCCs)</t>
  </si>
  <si>
    <t xml:space="preserve">Art. 46 GDPR (Transfers subject to appropriate safeguards)</t>
  </si>
  <si>
    <t xml:space="preserve">C-DORA-01</t>
  </si>
  <si>
    <t xml:space="preserve">Banca Credito Adriatico S.p.A.</t>
  </si>
  <si>
    <t xml:space="preserve">DORA</t>
  </si>
  <si>
    <t xml:space="preserve">No ICT risk management framework</t>
  </si>
  <si>
    <t xml:space="preserve">Art. 6-7 DORA (Reg. 2022/2554)</t>
  </si>
  <si>
    <t xml:space="preserve">C-DORA-02</t>
  </si>
  <si>
    <t xml:space="preserve">No digital operational resilience testing (TLPT)</t>
  </si>
  <si>
    <t xml:space="preserve">Art. 24-27 DORA (Reg. 2022/2554)</t>
  </si>
  <si>
    <t xml:space="preserve">C-DORA-03</t>
  </si>
  <si>
    <t xml:space="preserve">Third-party ICT contracts lack DORA-required provisions</t>
  </si>
  <si>
    <t xml:space="preserve">Art. 30 DORA (Reg. 2022/2554)</t>
  </si>
  <si>
    <t xml:space="preserve">C-NIS2-01</t>
  </si>
  <si>
    <t xml:space="preserve">NIS2</t>
  </si>
  <si>
    <t xml:space="preserve">Incident notification exceeded 24-hour window</t>
  </si>
  <si>
    <t xml:space="preserve">Art. 23 NIS2 (Directive 2022/2555)</t>
  </si>
  <si>
    <t xml:space="preserve">C-GDPR-01</t>
  </si>
  <si>
    <t xml:space="preserve">Data breach notification exceeded 72 hours</t>
  </si>
  <si>
    <t xml:space="preserve">Art. 33 GDPR (Notification to supervisory authority)</t>
  </si>
  <si>
    <t xml:space="preserve">C-GDPR-02</t>
  </si>
  <si>
    <t xml:space="preserve">DPO has conflict of interest (also Head of Legal)</t>
  </si>
  <si>
    <t xml:space="preserve">Art. 38(6) GDPR (Position of the DPO)</t>
  </si>
  <si>
    <t xml:space="preserve">PARTIALLY_COMPLIANT</t>
  </si>
  <si>
    <t xml:space="preserve">HARD</t>
  </si>
  <si>
    <t xml:space="preserve">D-TAX-01</t>
  </si>
  <si>
    <t xml:space="preserve">GreenGrid Energy B.V.</t>
  </si>
  <si>
    <t xml:space="preserve">TAXONOMY</t>
  </si>
  <si>
    <t xml:space="preserve">Gas activities claimed as Taxonomy-aligned without meeting TSC</t>
  </si>
  <si>
    <t xml:space="preserve">Art. 3 Taxonomy Reg. (2020/852) + CDA TSC (270g threshold)</t>
  </si>
  <si>
    <t xml:space="preserve">D-TAX-02</t>
  </si>
  <si>
    <t xml:space="preserve">No DNSH assessment for biodiversity on offshore wind</t>
  </si>
  <si>
    <t xml:space="preserve">Art. 17 Taxonomy Reg. (2020/852) — DNSH criteria</t>
  </si>
  <si>
    <t xml:space="preserve">D-CSRD-01</t>
  </si>
  <si>
    <t xml:space="preserve">No interim climate targets (only 2050, missing 2030)</t>
  </si>
  <si>
    <t xml:space="preserve">ESRS E1-4 (Targets related to climate change mitigation)</t>
  </si>
  <si>
    <t xml:space="preserve">D-CSRD-02</t>
  </si>
  <si>
    <t xml:space="preserve">No Taxonomy-aligned CAPEX plan disclosed</t>
  </si>
  <si>
    <t xml:space="preserve">ESRS E1-7 (Expected financial effects) + Art. 8 Taxonomy Reg.</t>
  </si>
  <si>
    <t xml:space="preserve">E-AIACT-01</t>
  </si>
  <si>
    <t xml:space="preserve">TalentLens AI S.L.</t>
  </si>
  <si>
    <t xml:space="preserve">Emotion recognition in recruitment without compliance</t>
  </si>
  <si>
    <t xml:space="preserve">Art. 5(1)(f) AI Act — Prohibited practices (emotion recognition in workplace)</t>
  </si>
  <si>
    <t xml:space="preserve">E-AIACT-02</t>
  </si>
  <si>
    <t xml:space="preserve">AI recruitment system with documented bias not mitigated</t>
  </si>
  <si>
    <t xml:space="preserve">Art. 10 AI Act (Data and data governance) + Annex III(4)</t>
  </si>
  <si>
    <t xml:space="preserve">E-GDPR-01</t>
  </si>
  <si>
    <t xml:space="preserve">DPA missing audit rights for data controller</t>
  </si>
  <si>
    <t xml:space="preserve">Art. 28(3)(h) GDPR (Processor obligations)</t>
  </si>
  <si>
    <t xml:space="preserve">E-GDPR-02</t>
  </si>
  <si>
    <t xml:space="preserve">Indefinite data retention for model training</t>
  </si>
  <si>
    <t xml:space="preserve">Art. 5(1)(e) GDPR (Storage limitation) + Art. 28(3)(g)</t>
  </si>
  <si>
    <t xml:space="preserve">E-GDPR-03</t>
  </si>
  <si>
    <t xml:space="preserve">No DPIA for high-risk automated profiling</t>
  </si>
  <si>
    <t xml:space="preserve">Art. 35 GDPR (Data protection impact assessment)</t>
  </si>
  <si>
    <t xml:space="preserve">E-GDPR-04</t>
  </si>
  <si>
    <t xml:space="preserve">No disclosure of automated decision-making logic or right to contest</t>
  </si>
  <si>
    <t xml:space="preserve">Art. 22 GDPR + Art. 13(2)(f) GDPR</t>
  </si>
  <si>
    <t xml:space="preserve">NormaAI — Validation Dashboard</t>
  </si>
  <si>
    <t xml:space="preserve">Overall Metrics</t>
  </si>
  <si>
    <t xml:space="preserve">Metric</t>
  </si>
  <si>
    <t xml:space="preserve">Value</t>
  </si>
  <si>
    <t xml:space="preserve">Formula</t>
  </si>
  <si>
    <t xml:space="preserve">Total Test Cases</t>
  </si>
  <si>
    <t xml:space="preserve">True Positives (TP)</t>
  </si>
  <si>
    <t xml:space="preserve">Partial Matches (PM)</t>
  </si>
  <si>
    <t xml:space="preserve">False Negatives (FN)</t>
  </si>
  <si>
    <t xml:space="preserve">Errors</t>
  </si>
  <si>
    <t xml:space="preserve">Detection Rate (%)</t>
  </si>
  <si>
    <t xml:space="preserve">Hallucinations Count</t>
  </si>
  <si>
    <t xml:space="preserve">Per-Framework Breakdown</t>
  </si>
  <si>
    <t xml:space="preserve">Total</t>
  </si>
  <si>
    <t xml:space="preserve">TP</t>
  </si>
  <si>
    <t xml:space="preserve">PM</t>
  </si>
  <si>
    <t xml:space="preserve">FN</t>
  </si>
  <si>
    <t xml:space="preserve">Per-Difficulty Breakdown</t>
  </si>
  <si>
    <t xml:space="preserve">Synthetic Company Profiles — Reference</t>
  </si>
  <si>
    <t xml:space="preserve">ID</t>
  </si>
  <si>
    <t xml:space="preserve">Sector</t>
  </si>
  <si>
    <t xml:space="preserve">Employees</t>
  </si>
  <si>
    <t xml:space="preserve">Jurisdictions</t>
  </si>
  <si>
    <t xml:space="preserve">Test Cases</t>
  </si>
  <si>
    <t xml:space="preserve">SYNTH-A</t>
  </si>
  <si>
    <t xml:space="preserve">Manufacturing — Automotive Components</t>
  </si>
  <si>
    <t xml:space="preserve">DE, PL, CZ</t>
  </si>
  <si>
    <t xml:space="preserve">SYNTH-B</t>
  </si>
  <si>
    <t xml:space="preserve">Technology — AI/Computer Vision SaaS</t>
  </si>
  <si>
    <t xml:space="preserve">FR</t>
  </si>
  <si>
    <t xml:space="preserve">SYNTH-C</t>
  </si>
  <si>
    <t xml:space="preserve">Financial Services — Retail Banking</t>
  </si>
  <si>
    <t xml:space="preserve">IT</t>
  </si>
  <si>
    <t xml:space="preserve">SYNTH-D</t>
  </si>
  <si>
    <t xml:space="preserve">Energy — Power Generation &amp; Utilities</t>
  </si>
  <si>
    <t xml:space="preserve">NL, BE</t>
  </si>
  <si>
    <t xml:space="preserve">SYNTH-E</t>
  </si>
  <si>
    <t xml:space="preserve">Technology — HR-Tech / AI Recruitment</t>
  </si>
  <si>
    <t xml:space="preserve">ES, FR, DE</t>
  </si>
  <si>
    <t xml:space="preserve">Legenda e Istruzioni</t>
  </si>
  <si>
    <t xml:space="preserve">Classificazione</t>
  </si>
  <si>
    <t xml:space="preserve">Significato</t>
  </si>
  <si>
    <t xml:space="preserve">Colore</t>
  </si>
  <si>
    <t xml:space="preserve">Azione</t>
  </si>
  <si>
    <t xml:space="preserve">TRUE_POSITIVE</t>
  </si>
  <si>
    <t xml:space="preserve">L'agente ha trovato il gap iniettato con citazione corretta</t>
  </si>
  <si>
    <t xml:space="preserve">Verde</t>
  </si>
  <si>
    <t xml:space="preserve">Nessuna — funziona!</t>
  </si>
  <si>
    <t xml:space="preserve">PARTIAL_MATCH</t>
  </si>
  <si>
    <t xml:space="preserve">L'agente ha trovato il concetto ma senza citazione esatta</t>
  </si>
  <si>
    <t xml:space="preserve">Giallo</t>
  </si>
  <si>
    <t xml:space="preserve">Migliorare prompt o retrieval</t>
  </si>
  <si>
    <t xml:space="preserve">FALSE_NEGATIVE</t>
  </si>
  <si>
    <t xml:space="preserve">L'agente NON ha trovato il gap che doveva trovare</t>
  </si>
  <si>
    <t xml:space="preserve">Rosso</t>
  </si>
  <si>
    <t xml:space="preserve">Bug critico — investigare</t>
  </si>
  <si>
    <t xml:space="preserve">ERROR</t>
  </si>
  <si>
    <t xml:space="preserve">Errore API (timeout, rate limit, crash)</t>
  </si>
  <si>
    <t xml:space="preserve">Grigio</t>
  </si>
  <si>
    <t xml:space="preserve">Fix infrastruttura</t>
  </si>
  <si>
    <t xml:space="preserve">HALLUCINATION (FP)</t>
  </si>
  <si>
    <t xml:space="preserve">L'agente ha inventato un gap inesistente</t>
  </si>
  <si>
    <t xml:space="preserve">Arancione</t>
  </si>
  <si>
    <t xml:space="preserve">Migliorare grounding RAG</t>
  </si>
  <si>
    <t xml:space="preserve">Come usare questo framework:</t>
  </si>
  <si>
    <t xml:space="preserve">1. Avvia NormaAI:  cd normaai &amp;&amp; python -m src.api.main</t>
  </si>
  <si>
    <t xml:space="preserve">2. Lancia i test:  python test_runner.py --base-url http://localhost:8000 --delay 10</t>
  </si>
  <si>
    <t xml:space="preserve">3. I risultati vengono salvati in test_results.json</t>
  </si>
  <si>
    <t xml:space="preserve">4. Copia i risultati nel foglio 'Confusion Matrix' oppure usa results_to_excel.py</t>
  </si>
  <si>
    <t xml:space="preserve">5. Il foglio 'Dashboard' calcola automaticamente le metriche</t>
  </si>
  <si>
    <t xml:space="preserve">6. Nella colonna 'Hallucinations': annota OGNI gap che l'agente ha trovato MA che non era iniettato</t>
  </si>
  <si>
    <t xml:space="preserve">7. Target: Detection Rate &gt; 80% e Hallucination Rate &lt; 10%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</si>
</sst>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3A5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B3A5C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D6E4F0"/>
        <bgColor rgb="FFE0E0E0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E0E0E0"/>
      </patternFill>
    </fill>
    <fill>
      <patternFill patternType="solid">
        <fgColor rgb="FFE0E0E0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0E0E0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6366F1"/>
      <rgbColor rgb="FF33CCCC"/>
      <rgbColor rgb="FF99CC00"/>
      <rgbColor rgb="FFFFCC00"/>
      <rgbColor rgb="FFF59E0B"/>
      <rgbColor rgb="FFFF6600"/>
      <rgbColor rgb="FF666666"/>
      <rgbColor rgb="FF969696"/>
      <rgbColor rgb="FF1B3A5C"/>
      <rgbColor rgb="FF22C55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N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3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11" min="9" style="0" width="10"/>
    <col collapsed="false" customWidth="true" hidden="false" outlineLevel="0" max="12" min="12" style="0" width="20"/>
    <col collapsed="false" customWidth="true" hidden="false" outlineLevel="0" max="13" min="13" style="0" width="16"/>
    <col collapsed="false" customWidth="true" hidden="false" outlineLevel="0" max="14" min="14" style="0" width="2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23.85" hidden="false" customHeight="false" outlineLevel="0" collapsed="false">
      <c r="A5" s="4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/>
      <c r="I5" s="4"/>
      <c r="J5" s="4"/>
      <c r="K5" s="4"/>
      <c r="L5" s="4"/>
      <c r="M5" s="4"/>
      <c r="N5" s="4"/>
    </row>
    <row r="6" customFormat="false" ht="23.85" hidden="false" customHeight="false" outlineLevel="0" collapsed="false">
      <c r="A6" s="4" t="s">
        <v>23</v>
      </c>
      <c r="B6" s="4" t="s">
        <v>17</v>
      </c>
      <c r="C6" s="4" t="s">
        <v>18</v>
      </c>
      <c r="D6" s="4" t="s">
        <v>24</v>
      </c>
      <c r="E6" s="4" t="s">
        <v>25</v>
      </c>
      <c r="F6" s="4" t="s">
        <v>21</v>
      </c>
      <c r="G6" s="4" t="s">
        <v>22</v>
      </c>
      <c r="H6" s="4"/>
      <c r="I6" s="4"/>
      <c r="J6" s="4"/>
      <c r="K6" s="4"/>
      <c r="L6" s="4"/>
      <c r="M6" s="4"/>
      <c r="N6" s="4"/>
    </row>
    <row r="7" customFormat="false" ht="23.85" hidden="false" customHeight="false" outlineLevel="0" collapsed="false">
      <c r="A7" s="4" t="s">
        <v>26</v>
      </c>
      <c r="B7" s="4" t="s">
        <v>17</v>
      </c>
      <c r="C7" s="4" t="s">
        <v>27</v>
      </c>
      <c r="D7" s="4" t="s">
        <v>28</v>
      </c>
      <c r="E7" s="4" t="s">
        <v>29</v>
      </c>
      <c r="F7" s="4" t="s">
        <v>21</v>
      </c>
      <c r="G7" s="4" t="s">
        <v>22</v>
      </c>
      <c r="H7" s="4"/>
      <c r="I7" s="4"/>
      <c r="J7" s="4"/>
      <c r="K7" s="4"/>
      <c r="L7" s="4"/>
      <c r="M7" s="4"/>
      <c r="N7" s="4"/>
    </row>
    <row r="8" customFormat="false" ht="23.85" hidden="false" customHeight="false" outlineLevel="0" collapsed="false">
      <c r="A8" s="4" t="s">
        <v>30</v>
      </c>
      <c r="B8" s="4" t="s">
        <v>17</v>
      </c>
      <c r="C8" s="4" t="s">
        <v>27</v>
      </c>
      <c r="D8" s="4" t="s">
        <v>31</v>
      </c>
      <c r="E8" s="4" t="s">
        <v>32</v>
      </c>
      <c r="F8" s="4" t="s">
        <v>21</v>
      </c>
      <c r="G8" s="4" t="s">
        <v>33</v>
      </c>
      <c r="H8" s="4"/>
      <c r="I8" s="4"/>
      <c r="J8" s="4"/>
      <c r="K8" s="4"/>
      <c r="L8" s="4"/>
      <c r="M8" s="4"/>
      <c r="N8" s="4"/>
    </row>
    <row r="9" customFormat="false" ht="23.85" hidden="false" customHeight="false" outlineLevel="0" collapsed="false">
      <c r="A9" s="4" t="s">
        <v>34</v>
      </c>
      <c r="B9" s="4" t="s">
        <v>35</v>
      </c>
      <c r="C9" s="4" t="s">
        <v>36</v>
      </c>
      <c r="D9" s="4" t="s">
        <v>37</v>
      </c>
      <c r="E9" s="4" t="s">
        <v>38</v>
      </c>
      <c r="F9" s="4" t="s">
        <v>21</v>
      </c>
      <c r="G9" s="4" t="s">
        <v>33</v>
      </c>
      <c r="H9" s="4"/>
      <c r="I9" s="4"/>
      <c r="J9" s="4"/>
      <c r="K9" s="4"/>
      <c r="L9" s="4"/>
      <c r="M9" s="4"/>
      <c r="N9" s="4"/>
    </row>
    <row r="10" customFormat="false" ht="23.85" hidden="false" customHeight="false" outlineLevel="0" collapsed="false">
      <c r="A10" s="4" t="s">
        <v>39</v>
      </c>
      <c r="B10" s="4" t="s">
        <v>35</v>
      </c>
      <c r="C10" s="4" t="s">
        <v>36</v>
      </c>
      <c r="D10" s="4" t="s">
        <v>40</v>
      </c>
      <c r="E10" s="4" t="s">
        <v>41</v>
      </c>
      <c r="F10" s="4" t="s">
        <v>21</v>
      </c>
      <c r="G10" s="4" t="s">
        <v>22</v>
      </c>
      <c r="H10" s="4"/>
      <c r="I10" s="4"/>
      <c r="J10" s="4"/>
      <c r="K10" s="4"/>
      <c r="L10" s="4"/>
      <c r="M10" s="4"/>
      <c r="N10" s="4"/>
    </row>
    <row r="11" customFormat="false" ht="23.85" hidden="false" customHeight="false" outlineLevel="0" collapsed="false">
      <c r="A11" s="4" t="s">
        <v>42</v>
      </c>
      <c r="B11" s="4" t="s">
        <v>35</v>
      </c>
      <c r="C11" s="4" t="s">
        <v>36</v>
      </c>
      <c r="D11" s="4" t="s">
        <v>43</v>
      </c>
      <c r="E11" s="4" t="s">
        <v>44</v>
      </c>
      <c r="F11" s="4" t="s">
        <v>21</v>
      </c>
      <c r="G11" s="4" t="s">
        <v>33</v>
      </c>
      <c r="H11" s="4"/>
      <c r="I11" s="4"/>
      <c r="J11" s="4"/>
      <c r="K11" s="4"/>
      <c r="L11" s="4"/>
      <c r="M11" s="4"/>
      <c r="N11" s="4"/>
    </row>
    <row r="12" customFormat="false" ht="23.85" hidden="false" customHeight="false" outlineLevel="0" collapsed="false">
      <c r="A12" s="4" t="s">
        <v>45</v>
      </c>
      <c r="B12" s="4" t="s">
        <v>35</v>
      </c>
      <c r="C12" s="4" t="s">
        <v>46</v>
      </c>
      <c r="D12" s="4" t="s">
        <v>47</v>
      </c>
      <c r="E12" s="4" t="s">
        <v>48</v>
      </c>
      <c r="F12" s="4" t="s">
        <v>21</v>
      </c>
      <c r="G12" s="4" t="s">
        <v>22</v>
      </c>
      <c r="H12" s="4"/>
      <c r="I12" s="4"/>
      <c r="J12" s="4"/>
      <c r="K12" s="4"/>
      <c r="L12" s="4"/>
      <c r="M12" s="4"/>
      <c r="N12" s="4"/>
    </row>
    <row r="13" customFormat="false" ht="23.85" hidden="false" customHeight="false" outlineLevel="0" collapsed="false">
      <c r="A13" s="4" t="s">
        <v>49</v>
      </c>
      <c r="B13" s="4" t="s">
        <v>35</v>
      </c>
      <c r="C13" s="4" t="s">
        <v>46</v>
      </c>
      <c r="D13" s="4" t="s">
        <v>50</v>
      </c>
      <c r="E13" s="4" t="s">
        <v>51</v>
      </c>
      <c r="F13" s="4" t="s">
        <v>21</v>
      </c>
      <c r="G13" s="4" t="s">
        <v>22</v>
      </c>
      <c r="H13" s="4"/>
      <c r="I13" s="4"/>
      <c r="J13" s="4"/>
      <c r="K13" s="4"/>
      <c r="L13" s="4"/>
      <c r="M13" s="4"/>
      <c r="N13" s="4"/>
    </row>
    <row r="14" customFormat="false" ht="23.85" hidden="false" customHeight="false" outlineLevel="0" collapsed="false">
      <c r="A14" s="4" t="s">
        <v>52</v>
      </c>
      <c r="B14" s="4" t="s">
        <v>53</v>
      </c>
      <c r="C14" s="4" t="s">
        <v>54</v>
      </c>
      <c r="D14" s="4" t="s">
        <v>55</v>
      </c>
      <c r="E14" s="4" t="s">
        <v>56</v>
      </c>
      <c r="F14" s="4" t="s">
        <v>21</v>
      </c>
      <c r="G14" s="4" t="s">
        <v>22</v>
      </c>
      <c r="H14" s="4"/>
      <c r="I14" s="4"/>
      <c r="J14" s="4"/>
      <c r="K14" s="4"/>
      <c r="L14" s="4"/>
      <c r="M14" s="4"/>
      <c r="N14" s="4"/>
    </row>
    <row r="15" customFormat="false" ht="23.85" hidden="false" customHeight="false" outlineLevel="0" collapsed="false">
      <c r="A15" s="4" t="s">
        <v>57</v>
      </c>
      <c r="B15" s="4" t="s">
        <v>53</v>
      </c>
      <c r="C15" s="4" t="s">
        <v>54</v>
      </c>
      <c r="D15" s="4" t="s">
        <v>58</v>
      </c>
      <c r="E15" s="4" t="s">
        <v>59</v>
      </c>
      <c r="F15" s="4" t="s">
        <v>21</v>
      </c>
      <c r="G15" s="4" t="s">
        <v>33</v>
      </c>
      <c r="H15" s="4"/>
      <c r="I15" s="4"/>
      <c r="J15" s="4"/>
      <c r="K15" s="4"/>
      <c r="L15" s="4"/>
      <c r="M15" s="4"/>
      <c r="N15" s="4"/>
    </row>
    <row r="16" customFormat="false" ht="23.85" hidden="false" customHeight="false" outlineLevel="0" collapsed="false">
      <c r="A16" s="4" t="s">
        <v>60</v>
      </c>
      <c r="B16" s="4" t="s">
        <v>53</v>
      </c>
      <c r="C16" s="4" t="s">
        <v>54</v>
      </c>
      <c r="D16" s="4" t="s">
        <v>61</v>
      </c>
      <c r="E16" s="4" t="s">
        <v>62</v>
      </c>
      <c r="F16" s="4" t="s">
        <v>21</v>
      </c>
      <c r="G16" s="4" t="s">
        <v>33</v>
      </c>
      <c r="H16" s="4"/>
      <c r="I16" s="4"/>
      <c r="J16" s="4"/>
      <c r="K16" s="4"/>
      <c r="L16" s="4"/>
      <c r="M16" s="4"/>
      <c r="N16" s="4"/>
    </row>
    <row r="17" customFormat="false" ht="23.85" hidden="false" customHeight="false" outlineLevel="0" collapsed="false">
      <c r="A17" s="4" t="s">
        <v>63</v>
      </c>
      <c r="B17" s="4" t="s">
        <v>53</v>
      </c>
      <c r="C17" s="4" t="s">
        <v>64</v>
      </c>
      <c r="D17" s="4" t="s">
        <v>65</v>
      </c>
      <c r="E17" s="4" t="s">
        <v>66</v>
      </c>
      <c r="F17" s="4" t="s">
        <v>21</v>
      </c>
      <c r="G17" s="4" t="s">
        <v>22</v>
      </c>
      <c r="H17" s="4"/>
      <c r="I17" s="4"/>
      <c r="J17" s="4"/>
      <c r="K17" s="4"/>
      <c r="L17" s="4"/>
      <c r="M17" s="4"/>
      <c r="N17" s="4"/>
    </row>
    <row r="18" customFormat="false" ht="23.85" hidden="false" customHeight="false" outlineLevel="0" collapsed="false">
      <c r="A18" s="4" t="s">
        <v>67</v>
      </c>
      <c r="B18" s="4" t="s">
        <v>53</v>
      </c>
      <c r="C18" s="4" t="s">
        <v>46</v>
      </c>
      <c r="D18" s="4" t="s">
        <v>68</v>
      </c>
      <c r="E18" s="4" t="s">
        <v>69</v>
      </c>
      <c r="F18" s="4" t="s">
        <v>21</v>
      </c>
      <c r="G18" s="4" t="s">
        <v>22</v>
      </c>
      <c r="H18" s="4"/>
      <c r="I18" s="4"/>
      <c r="J18" s="4"/>
      <c r="K18" s="4"/>
      <c r="L18" s="4"/>
      <c r="M18" s="4"/>
      <c r="N18" s="4"/>
    </row>
    <row r="19" customFormat="false" ht="23.85" hidden="false" customHeight="false" outlineLevel="0" collapsed="false">
      <c r="A19" s="4" t="s">
        <v>70</v>
      </c>
      <c r="B19" s="4" t="s">
        <v>53</v>
      </c>
      <c r="C19" s="4" t="s">
        <v>46</v>
      </c>
      <c r="D19" s="4" t="s">
        <v>71</v>
      </c>
      <c r="E19" s="4" t="s">
        <v>72</v>
      </c>
      <c r="F19" s="4" t="s">
        <v>73</v>
      </c>
      <c r="G19" s="4" t="s">
        <v>74</v>
      </c>
      <c r="H19" s="4"/>
      <c r="I19" s="4"/>
      <c r="J19" s="4"/>
      <c r="K19" s="4"/>
      <c r="L19" s="4"/>
      <c r="M19" s="4"/>
      <c r="N19" s="4"/>
    </row>
    <row r="20" customFormat="false" ht="23.85" hidden="false" customHeight="false" outlineLevel="0" collapsed="false">
      <c r="A20" s="4" t="s">
        <v>75</v>
      </c>
      <c r="B20" s="4" t="s">
        <v>76</v>
      </c>
      <c r="C20" s="4" t="s">
        <v>77</v>
      </c>
      <c r="D20" s="4" t="s">
        <v>78</v>
      </c>
      <c r="E20" s="4" t="s">
        <v>79</v>
      </c>
      <c r="F20" s="4" t="s">
        <v>21</v>
      </c>
      <c r="G20" s="4" t="s">
        <v>74</v>
      </c>
      <c r="H20" s="4"/>
      <c r="I20" s="4"/>
      <c r="J20" s="4"/>
      <c r="K20" s="4"/>
      <c r="L20" s="4"/>
      <c r="M20" s="4"/>
      <c r="N20" s="4"/>
    </row>
    <row r="21" customFormat="false" ht="23.85" hidden="false" customHeight="false" outlineLevel="0" collapsed="false">
      <c r="A21" s="4" t="s">
        <v>80</v>
      </c>
      <c r="B21" s="4" t="s">
        <v>76</v>
      </c>
      <c r="C21" s="4" t="s">
        <v>77</v>
      </c>
      <c r="D21" s="4" t="s">
        <v>81</v>
      </c>
      <c r="E21" s="4" t="s">
        <v>82</v>
      </c>
      <c r="F21" s="4" t="s">
        <v>21</v>
      </c>
      <c r="G21" s="4" t="s">
        <v>74</v>
      </c>
      <c r="H21" s="4"/>
      <c r="I21" s="4"/>
      <c r="J21" s="4"/>
      <c r="K21" s="4"/>
      <c r="L21" s="4"/>
      <c r="M21" s="4"/>
      <c r="N21" s="4"/>
    </row>
    <row r="22" customFormat="false" ht="23.85" hidden="false" customHeight="false" outlineLevel="0" collapsed="false">
      <c r="A22" s="4" t="s">
        <v>83</v>
      </c>
      <c r="B22" s="4" t="s">
        <v>76</v>
      </c>
      <c r="C22" s="4" t="s">
        <v>27</v>
      </c>
      <c r="D22" s="4" t="s">
        <v>84</v>
      </c>
      <c r="E22" s="4" t="s">
        <v>85</v>
      </c>
      <c r="F22" s="4" t="s">
        <v>73</v>
      </c>
      <c r="G22" s="4" t="s">
        <v>33</v>
      </c>
      <c r="H22" s="4"/>
      <c r="I22" s="4"/>
      <c r="J22" s="4"/>
      <c r="K22" s="4"/>
      <c r="L22" s="4"/>
      <c r="M22" s="4"/>
      <c r="N22" s="4"/>
    </row>
    <row r="23" customFormat="false" ht="23.85" hidden="false" customHeight="false" outlineLevel="0" collapsed="false">
      <c r="A23" s="4" t="s">
        <v>86</v>
      </c>
      <c r="B23" s="4" t="s">
        <v>76</v>
      </c>
      <c r="C23" s="4" t="s">
        <v>27</v>
      </c>
      <c r="D23" s="4" t="s">
        <v>87</v>
      </c>
      <c r="E23" s="4" t="s">
        <v>88</v>
      </c>
      <c r="F23" s="4" t="s">
        <v>21</v>
      </c>
      <c r="G23" s="4" t="s">
        <v>74</v>
      </c>
      <c r="H23" s="4"/>
      <c r="I23" s="4"/>
      <c r="J23" s="4"/>
      <c r="K23" s="4"/>
      <c r="L23" s="4"/>
      <c r="M23" s="4"/>
      <c r="N23" s="4"/>
    </row>
    <row r="24" customFormat="false" ht="35.05" hidden="false" customHeight="false" outlineLevel="0" collapsed="false">
      <c r="A24" s="4" t="s">
        <v>89</v>
      </c>
      <c r="B24" s="4" t="s">
        <v>90</v>
      </c>
      <c r="C24" s="4" t="s">
        <v>36</v>
      </c>
      <c r="D24" s="4" t="s">
        <v>91</v>
      </c>
      <c r="E24" s="4" t="s">
        <v>92</v>
      </c>
      <c r="F24" s="4" t="s">
        <v>21</v>
      </c>
      <c r="G24" s="4" t="s">
        <v>33</v>
      </c>
      <c r="H24" s="4"/>
      <c r="I24" s="4"/>
      <c r="J24" s="4"/>
      <c r="K24" s="4"/>
      <c r="L24" s="4"/>
      <c r="M24" s="4"/>
      <c r="N24" s="4"/>
    </row>
    <row r="25" customFormat="false" ht="23.85" hidden="false" customHeight="false" outlineLevel="0" collapsed="false">
      <c r="A25" s="4" t="s">
        <v>93</v>
      </c>
      <c r="B25" s="4" t="s">
        <v>90</v>
      </c>
      <c r="C25" s="4" t="s">
        <v>36</v>
      </c>
      <c r="D25" s="4" t="s">
        <v>94</v>
      </c>
      <c r="E25" s="4" t="s">
        <v>95</v>
      </c>
      <c r="F25" s="4" t="s">
        <v>21</v>
      </c>
      <c r="G25" s="4" t="s">
        <v>33</v>
      </c>
      <c r="H25" s="4"/>
      <c r="I25" s="4"/>
      <c r="J25" s="4"/>
      <c r="K25" s="4"/>
      <c r="L25" s="4"/>
      <c r="M25" s="4"/>
      <c r="N25" s="4"/>
    </row>
    <row r="26" customFormat="false" ht="23.85" hidden="false" customHeight="false" outlineLevel="0" collapsed="false">
      <c r="A26" s="4" t="s">
        <v>96</v>
      </c>
      <c r="B26" s="4" t="s">
        <v>90</v>
      </c>
      <c r="C26" s="4" t="s">
        <v>46</v>
      </c>
      <c r="D26" s="4" t="s">
        <v>97</v>
      </c>
      <c r="E26" s="4" t="s">
        <v>98</v>
      </c>
      <c r="F26" s="4" t="s">
        <v>21</v>
      </c>
      <c r="G26" s="4" t="s">
        <v>22</v>
      </c>
      <c r="H26" s="4"/>
      <c r="I26" s="4"/>
      <c r="J26" s="4"/>
      <c r="K26" s="4"/>
      <c r="L26" s="4"/>
      <c r="M26" s="4"/>
      <c r="N26" s="4"/>
    </row>
    <row r="27" customFormat="false" ht="23.85" hidden="false" customHeight="false" outlineLevel="0" collapsed="false">
      <c r="A27" s="4" t="s">
        <v>99</v>
      </c>
      <c r="B27" s="4" t="s">
        <v>90</v>
      </c>
      <c r="C27" s="4" t="s">
        <v>46</v>
      </c>
      <c r="D27" s="4" t="s">
        <v>100</v>
      </c>
      <c r="E27" s="4" t="s">
        <v>101</v>
      </c>
      <c r="F27" s="4" t="s">
        <v>21</v>
      </c>
      <c r="G27" s="4" t="s">
        <v>22</v>
      </c>
      <c r="H27" s="4"/>
      <c r="I27" s="4"/>
      <c r="J27" s="4"/>
      <c r="K27" s="4"/>
      <c r="L27" s="4"/>
      <c r="M27" s="4"/>
      <c r="N27" s="4"/>
    </row>
    <row r="28" customFormat="false" ht="23.85" hidden="false" customHeight="false" outlineLevel="0" collapsed="false">
      <c r="A28" s="4" t="s">
        <v>102</v>
      </c>
      <c r="B28" s="4" t="s">
        <v>90</v>
      </c>
      <c r="C28" s="4" t="s">
        <v>46</v>
      </c>
      <c r="D28" s="4" t="s">
        <v>103</v>
      </c>
      <c r="E28" s="4" t="s">
        <v>104</v>
      </c>
      <c r="F28" s="4" t="s">
        <v>21</v>
      </c>
      <c r="G28" s="4" t="s">
        <v>22</v>
      </c>
      <c r="H28" s="4"/>
      <c r="I28" s="4"/>
      <c r="J28" s="4"/>
      <c r="K28" s="4"/>
      <c r="L28" s="4"/>
      <c r="M28" s="4"/>
      <c r="N28" s="4"/>
    </row>
    <row r="29" customFormat="false" ht="23.85" hidden="false" customHeight="false" outlineLevel="0" collapsed="false">
      <c r="A29" s="4" t="s">
        <v>105</v>
      </c>
      <c r="B29" s="4" t="s">
        <v>90</v>
      </c>
      <c r="C29" s="4" t="s">
        <v>46</v>
      </c>
      <c r="D29" s="4" t="s">
        <v>106</v>
      </c>
      <c r="E29" s="4" t="s">
        <v>107</v>
      </c>
      <c r="F29" s="4" t="s">
        <v>21</v>
      </c>
      <c r="G29" s="4" t="s">
        <v>33</v>
      </c>
      <c r="H29" s="4"/>
      <c r="I29" s="4"/>
      <c r="J29" s="4"/>
      <c r="K29" s="4"/>
      <c r="L29" s="4"/>
      <c r="M29" s="4"/>
      <c r="N29" s="4"/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366F1"/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5" min="3" style="0" width="10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108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5" t="s">
        <v>109</v>
      </c>
      <c r="B3" s="5"/>
      <c r="C3" s="5"/>
      <c r="D3" s="5"/>
      <c r="E3" s="5"/>
      <c r="F3" s="5"/>
    </row>
    <row r="4" customFormat="false" ht="15" hidden="false" customHeight="false" outlineLevel="0" collapsed="false">
      <c r="A4" s="3" t="s">
        <v>110</v>
      </c>
      <c r="B4" s="3" t="s">
        <v>111</v>
      </c>
      <c r="C4" s="3" t="s">
        <v>112</v>
      </c>
    </row>
    <row r="5" customFormat="false" ht="15" hidden="false" customHeight="false" outlineLevel="0" collapsed="false">
      <c r="A5" s="6" t="s">
        <v>113</v>
      </c>
      <c r="B5" s="6" t="n">
        <v>25</v>
      </c>
      <c r="C5" s="6"/>
    </row>
    <row r="6" customFormat="false" ht="15" hidden="false" customHeight="false" outlineLevel="0" collapsed="false">
      <c r="A6" s="6" t="s">
        <v>114</v>
      </c>
      <c r="B6" s="6"/>
      <c r="C6" s="6" t="n">
        <f aca="false">COUNTIF('Confusion Matrix'!H5:H29,"TRUE_POSITIVE")</f>
        <v>0</v>
      </c>
    </row>
    <row r="7" customFormat="false" ht="15" hidden="false" customHeight="false" outlineLevel="0" collapsed="false">
      <c r="A7" s="6" t="s">
        <v>115</v>
      </c>
      <c r="B7" s="6"/>
      <c r="C7" s="6" t="n">
        <f aca="false">COUNTIF('Confusion Matrix'!H5:H29,"PARTIAL_MATCH")</f>
        <v>0</v>
      </c>
    </row>
    <row r="8" customFormat="false" ht="15" hidden="false" customHeight="false" outlineLevel="0" collapsed="false">
      <c r="A8" s="6" t="s">
        <v>116</v>
      </c>
      <c r="B8" s="6"/>
      <c r="C8" s="6" t="n">
        <f aca="false">COUNTIF('Confusion Matrix'!H5:H29,"FALSE_NEGATIVE")</f>
        <v>0</v>
      </c>
    </row>
    <row r="9" customFormat="false" ht="15" hidden="false" customHeight="false" outlineLevel="0" collapsed="false">
      <c r="A9" s="6" t="s">
        <v>117</v>
      </c>
      <c r="B9" s="6"/>
      <c r="C9" s="6" t="n">
        <f aca="false">COUNTIF('Confusion Matrix'!H5:H29,"ERROR")</f>
        <v>0</v>
      </c>
    </row>
    <row r="10" customFormat="false" ht="15" hidden="false" customHeight="false" outlineLevel="0" collapsed="false">
      <c r="A10" s="6" t="s">
        <v>118</v>
      </c>
      <c r="B10" s="6"/>
      <c r="C10" s="6" t="n">
        <f aca="false">IF(B5&gt;0,(B6+0.5*B7)/B5*100,0)</f>
        <v>0</v>
      </c>
    </row>
    <row r="11" customFormat="false" ht="15" hidden="false" customHeight="false" outlineLevel="0" collapsed="false">
      <c r="A11" s="6" t="s">
        <v>119</v>
      </c>
      <c r="B11" s="6"/>
      <c r="C11" s="6" t="n">
        <f aca="false">COUNTA('Confusion Matrix'!M5:M29)-COUNTBLANK('Confusion Matrix'!M5:M29)</f>
        <v>-25</v>
      </c>
    </row>
    <row r="14" customFormat="false" ht="15" hidden="false" customHeight="false" outlineLevel="0" collapsed="false">
      <c r="A14" s="5" t="s">
        <v>120</v>
      </c>
      <c r="B14" s="5"/>
      <c r="C14" s="5"/>
      <c r="D14" s="5"/>
      <c r="E14" s="5"/>
      <c r="F14" s="5"/>
    </row>
    <row r="15" customFormat="false" ht="26.85" hidden="false" customHeight="false" outlineLevel="0" collapsed="false">
      <c r="A15" s="3" t="s">
        <v>4</v>
      </c>
      <c r="B15" s="3" t="s">
        <v>121</v>
      </c>
      <c r="C15" s="3" t="s">
        <v>122</v>
      </c>
      <c r="D15" s="3" t="s">
        <v>123</v>
      </c>
      <c r="E15" s="3" t="s">
        <v>124</v>
      </c>
      <c r="F15" s="3" t="s">
        <v>118</v>
      </c>
    </row>
    <row r="16" customFormat="false" ht="15" hidden="false" customHeight="false" outlineLevel="0" collapsed="false">
      <c r="A16" s="6" t="s">
        <v>36</v>
      </c>
      <c r="B16" s="6" t="n">
        <f aca="false">COUNTIF('Confusion Matrix'!C5:C29,A16)</f>
        <v>5</v>
      </c>
      <c r="C16" s="6" t="n">
        <f aca="false">COUNTIFS('Confusion Matrix'!C5:C29,A16,'Confusion Matrix'!H5:H29,"TRUE_POSITIVE")</f>
        <v>0</v>
      </c>
      <c r="D16" s="6" t="n">
        <f aca="false">COUNTIFS('Confusion Matrix'!C5:C29,A16,'Confusion Matrix'!H5:H29,"PARTIAL_MATCH")</f>
        <v>0</v>
      </c>
      <c r="E16" s="6" t="n">
        <f aca="false">COUNTIFS('Confusion Matrix'!C5:C29,A16,'Confusion Matrix'!H5:H29,"FALSE_NEGATIVE")</f>
        <v>0</v>
      </c>
      <c r="F16" s="6" t="n">
        <f aca="false">IF(B16&gt;0,(C16+0.5*D16)/B16*100,0)</f>
        <v>0</v>
      </c>
    </row>
    <row r="17" customFormat="false" ht="15" hidden="false" customHeight="false" outlineLevel="0" collapsed="false">
      <c r="A17" s="6" t="s">
        <v>18</v>
      </c>
      <c r="B17" s="6" t="n">
        <f aca="false">COUNTIF('Confusion Matrix'!C5:C29,A17)</f>
        <v>2</v>
      </c>
      <c r="C17" s="6" t="n">
        <f aca="false">COUNTIFS('Confusion Matrix'!C5:C29,A17,'Confusion Matrix'!H5:H29,"TRUE_POSITIVE")</f>
        <v>0</v>
      </c>
      <c r="D17" s="6" t="n">
        <f aca="false">COUNTIFS('Confusion Matrix'!C5:C29,A17,'Confusion Matrix'!H5:H29,"PARTIAL_MATCH")</f>
        <v>0</v>
      </c>
      <c r="E17" s="6" t="n">
        <f aca="false">COUNTIFS('Confusion Matrix'!C5:C29,A17,'Confusion Matrix'!H5:H29,"FALSE_NEGATIVE")</f>
        <v>0</v>
      </c>
      <c r="F17" s="6" t="n">
        <f aca="false">IF(B17&gt;0,(C17+0.5*D17)/B17*100,0)</f>
        <v>0</v>
      </c>
    </row>
    <row r="18" customFormat="false" ht="15" hidden="false" customHeight="false" outlineLevel="0" collapsed="false">
      <c r="A18" s="6" t="s">
        <v>27</v>
      </c>
      <c r="B18" s="6" t="n">
        <f aca="false">COUNTIF('Confusion Matrix'!C5:C29,A18)</f>
        <v>4</v>
      </c>
      <c r="C18" s="6" t="n">
        <f aca="false">COUNTIFS('Confusion Matrix'!C5:C29,A18,'Confusion Matrix'!H5:H29,"TRUE_POSITIVE")</f>
        <v>0</v>
      </c>
      <c r="D18" s="6" t="n">
        <f aca="false">COUNTIFS('Confusion Matrix'!C5:C29,A18,'Confusion Matrix'!H5:H29,"PARTIAL_MATCH")</f>
        <v>0</v>
      </c>
      <c r="E18" s="6" t="n">
        <f aca="false">COUNTIFS('Confusion Matrix'!C5:C29,A18,'Confusion Matrix'!H5:H29,"FALSE_NEGATIVE")</f>
        <v>0</v>
      </c>
      <c r="F18" s="6" t="n">
        <f aca="false">IF(B18&gt;0,(C18+0.5*D18)/B18*100,0)</f>
        <v>0</v>
      </c>
    </row>
    <row r="19" customFormat="false" ht="15" hidden="false" customHeight="false" outlineLevel="0" collapsed="false">
      <c r="A19" s="6" t="s">
        <v>54</v>
      </c>
      <c r="B19" s="6" t="n">
        <f aca="false">COUNTIF('Confusion Matrix'!C5:C29,A19)</f>
        <v>3</v>
      </c>
      <c r="C19" s="6" t="n">
        <f aca="false">COUNTIFS('Confusion Matrix'!C5:C29,A19,'Confusion Matrix'!H5:H29,"TRUE_POSITIVE")</f>
        <v>0</v>
      </c>
      <c r="D19" s="6" t="n">
        <f aca="false">COUNTIFS('Confusion Matrix'!C5:C29,A19,'Confusion Matrix'!H5:H29,"PARTIAL_MATCH")</f>
        <v>0</v>
      </c>
      <c r="E19" s="6" t="n">
        <f aca="false">COUNTIFS('Confusion Matrix'!C5:C29,A19,'Confusion Matrix'!H5:H29,"FALSE_NEGATIVE")</f>
        <v>0</v>
      </c>
      <c r="F19" s="6" t="n">
        <f aca="false">IF(B19&gt;0,(C19+0.5*D19)/B19*100,0)</f>
        <v>0</v>
      </c>
    </row>
    <row r="20" customFormat="false" ht="15" hidden="false" customHeight="false" outlineLevel="0" collapsed="false">
      <c r="A20" s="6" t="s">
        <v>46</v>
      </c>
      <c r="B20" s="6" t="n">
        <f aca="false">COUNTIF('Confusion Matrix'!C5:C29,A20)</f>
        <v>8</v>
      </c>
      <c r="C20" s="6" t="n">
        <f aca="false">COUNTIFS('Confusion Matrix'!C5:C29,A20,'Confusion Matrix'!H5:H29,"TRUE_POSITIVE")</f>
        <v>0</v>
      </c>
      <c r="D20" s="6" t="n">
        <f aca="false">COUNTIFS('Confusion Matrix'!C5:C29,A20,'Confusion Matrix'!H5:H29,"PARTIAL_MATCH")</f>
        <v>0</v>
      </c>
      <c r="E20" s="6" t="n">
        <f aca="false">COUNTIFS('Confusion Matrix'!C5:C29,A20,'Confusion Matrix'!H5:H29,"FALSE_NEGATIVE")</f>
        <v>0</v>
      </c>
      <c r="F20" s="6" t="n">
        <f aca="false">IF(B20&gt;0,(C20+0.5*D20)/B20*100,0)</f>
        <v>0</v>
      </c>
    </row>
    <row r="21" customFormat="false" ht="15" hidden="false" customHeight="false" outlineLevel="0" collapsed="false">
      <c r="A21" s="6" t="s">
        <v>64</v>
      </c>
      <c r="B21" s="6" t="n">
        <f aca="false">COUNTIF('Confusion Matrix'!C5:C29,A21)</f>
        <v>1</v>
      </c>
      <c r="C21" s="6" t="n">
        <f aca="false">COUNTIFS('Confusion Matrix'!C5:C29,A21,'Confusion Matrix'!H5:H29,"TRUE_POSITIVE")</f>
        <v>0</v>
      </c>
      <c r="D21" s="6" t="n">
        <f aca="false">COUNTIFS('Confusion Matrix'!C5:C29,A21,'Confusion Matrix'!H5:H29,"PARTIAL_MATCH")</f>
        <v>0</v>
      </c>
      <c r="E21" s="6" t="n">
        <f aca="false">COUNTIFS('Confusion Matrix'!C5:C29,A21,'Confusion Matrix'!H5:H29,"FALSE_NEGATIVE")</f>
        <v>0</v>
      </c>
      <c r="F21" s="6" t="n">
        <f aca="false">IF(B21&gt;0,(C21+0.5*D21)/B21*100,0)</f>
        <v>0</v>
      </c>
    </row>
    <row r="22" customFormat="false" ht="15" hidden="false" customHeight="false" outlineLevel="0" collapsed="false">
      <c r="A22" s="6" t="s">
        <v>77</v>
      </c>
      <c r="B22" s="6" t="n">
        <f aca="false">COUNTIF('Confusion Matrix'!C5:C29,A22)</f>
        <v>2</v>
      </c>
      <c r="C22" s="6" t="n">
        <f aca="false">COUNTIFS('Confusion Matrix'!C5:C29,A22,'Confusion Matrix'!H5:H29,"TRUE_POSITIVE")</f>
        <v>0</v>
      </c>
      <c r="D22" s="6" t="n">
        <f aca="false">COUNTIFS('Confusion Matrix'!C5:C29,A22,'Confusion Matrix'!H5:H29,"PARTIAL_MATCH")</f>
        <v>0</v>
      </c>
      <c r="E22" s="6" t="n">
        <f aca="false">COUNTIFS('Confusion Matrix'!C5:C29,A22,'Confusion Matrix'!H5:H29,"FALSE_NEGATIVE")</f>
        <v>0</v>
      </c>
      <c r="F22" s="6" t="n">
        <f aca="false">IF(B22&gt;0,(C22+0.5*D22)/B22*100,0)</f>
        <v>0</v>
      </c>
    </row>
    <row r="25" customFormat="false" ht="15" hidden="false" customHeight="false" outlineLevel="0" collapsed="false">
      <c r="A25" s="5" t="s">
        <v>125</v>
      </c>
      <c r="B25" s="5"/>
      <c r="C25" s="5"/>
      <c r="D25" s="5"/>
      <c r="E25" s="5"/>
      <c r="F25" s="5"/>
    </row>
    <row r="26" customFormat="false" ht="26.85" hidden="false" customHeight="false" outlineLevel="0" collapsed="false">
      <c r="A26" s="3" t="s">
        <v>8</v>
      </c>
      <c r="B26" s="3" t="s">
        <v>121</v>
      </c>
      <c r="C26" s="3" t="s">
        <v>122</v>
      </c>
      <c r="D26" s="3" t="s">
        <v>123</v>
      </c>
      <c r="E26" s="3" t="s">
        <v>124</v>
      </c>
      <c r="F26" s="3" t="s">
        <v>118</v>
      </c>
    </row>
    <row r="27" customFormat="false" ht="15" hidden="false" customHeight="false" outlineLevel="0" collapsed="false">
      <c r="A27" s="6" t="s">
        <v>22</v>
      </c>
      <c r="B27" s="6" t="n">
        <f aca="false">COUNTIF('Confusion Matrix'!G5:G29,A27)</f>
        <v>12</v>
      </c>
      <c r="C27" s="6" t="n">
        <f aca="false">COUNTIFS('Confusion Matrix'!G5:G29,A27,'Confusion Matrix'!H5:H29,"TRUE_POSITIVE")</f>
        <v>0</v>
      </c>
      <c r="D27" s="6" t="n">
        <f aca="false">COUNTIFS('Confusion Matrix'!G5:G29,A27,'Confusion Matrix'!H5:H29,"PARTIAL_MATCH")</f>
        <v>0</v>
      </c>
      <c r="E27" s="6" t="n">
        <f aca="false">COUNTIFS('Confusion Matrix'!G5:G29,A27,'Confusion Matrix'!H5:H29,"FALSE_NEGATIVE")</f>
        <v>0</v>
      </c>
      <c r="F27" s="6" t="n">
        <f aca="false">IF(B27&gt;0,(C27+0.5*D27)/B27*100,0)</f>
        <v>0</v>
      </c>
    </row>
    <row r="28" customFormat="false" ht="15" hidden="false" customHeight="false" outlineLevel="0" collapsed="false">
      <c r="A28" s="6" t="s">
        <v>33</v>
      </c>
      <c r="B28" s="6" t="n">
        <f aca="false">COUNTIF('Confusion Matrix'!G5:G29,A28)</f>
        <v>9</v>
      </c>
      <c r="C28" s="6" t="n">
        <f aca="false">COUNTIFS('Confusion Matrix'!G5:G29,A28,'Confusion Matrix'!H5:H29,"TRUE_POSITIVE")</f>
        <v>0</v>
      </c>
      <c r="D28" s="6" t="n">
        <f aca="false">COUNTIFS('Confusion Matrix'!G5:G29,A28,'Confusion Matrix'!H5:H29,"PARTIAL_MATCH")</f>
        <v>0</v>
      </c>
      <c r="E28" s="6" t="n">
        <f aca="false">COUNTIFS('Confusion Matrix'!G5:G29,A28,'Confusion Matrix'!H5:H29,"FALSE_NEGATIVE")</f>
        <v>0</v>
      </c>
      <c r="F28" s="6" t="n">
        <f aca="false">IF(B28&gt;0,(C28+0.5*D28)/B28*100,0)</f>
        <v>0</v>
      </c>
    </row>
    <row r="29" customFormat="false" ht="15" hidden="false" customHeight="false" outlineLevel="0" collapsed="false">
      <c r="A29" s="6" t="s">
        <v>74</v>
      </c>
      <c r="B29" s="6" t="n">
        <f aca="false">COUNTIF('Confusion Matrix'!G5:G29,A29)</f>
        <v>4</v>
      </c>
      <c r="C29" s="6" t="n">
        <f aca="false">COUNTIFS('Confusion Matrix'!G5:G29,A29,'Confusion Matrix'!H5:H29,"TRUE_POSITIVE")</f>
        <v>0</v>
      </c>
      <c r="D29" s="6" t="n">
        <f aca="false">COUNTIFS('Confusion Matrix'!G5:G29,A29,'Confusion Matrix'!H5:H29,"PARTIAL_MATCH")</f>
        <v>0</v>
      </c>
      <c r="E29" s="6" t="n">
        <f aca="false">COUNTIFS('Confusion Matrix'!G5:G29,A29,'Confusion Matrix'!H5:H29,"FALSE_NEGATIVE")</f>
        <v>0</v>
      </c>
      <c r="F29" s="6" t="n">
        <f aca="false">IF(B29&gt;0,(C29+0.5*D29)/B29*100,0)</f>
        <v>0</v>
      </c>
    </row>
  </sheetData>
  <mergeCells count="4">
    <mergeCell ref="A1:F1"/>
    <mergeCell ref="A3:F3"/>
    <mergeCell ref="A14:F14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35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126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" t="s">
        <v>127</v>
      </c>
      <c r="B3" s="3" t="s">
        <v>3</v>
      </c>
      <c r="C3" s="3" t="s">
        <v>128</v>
      </c>
      <c r="D3" s="3" t="s">
        <v>129</v>
      </c>
      <c r="E3" s="3" t="s">
        <v>130</v>
      </c>
      <c r="F3" s="3" t="s">
        <v>131</v>
      </c>
    </row>
    <row r="4" customFormat="false" ht="15" hidden="false" customHeight="false" outlineLevel="0" collapsed="false">
      <c r="A4" s="4" t="s">
        <v>132</v>
      </c>
      <c r="B4" s="4" t="s">
        <v>17</v>
      </c>
      <c r="C4" s="4" t="s">
        <v>133</v>
      </c>
      <c r="D4" s="4" t="n">
        <v>1200</v>
      </c>
      <c r="E4" s="4" t="s">
        <v>134</v>
      </c>
      <c r="F4" s="4" t="n">
        <v>4</v>
      </c>
    </row>
    <row r="5" customFormat="false" ht="15" hidden="false" customHeight="false" outlineLevel="0" collapsed="false">
      <c r="A5" s="4" t="s">
        <v>135</v>
      </c>
      <c r="B5" s="4" t="s">
        <v>35</v>
      </c>
      <c r="C5" s="4" t="s">
        <v>136</v>
      </c>
      <c r="D5" s="4" t="n">
        <v>85</v>
      </c>
      <c r="E5" s="4" t="s">
        <v>137</v>
      </c>
      <c r="F5" s="4" t="n">
        <v>5</v>
      </c>
    </row>
    <row r="6" customFormat="false" ht="15" hidden="false" customHeight="false" outlineLevel="0" collapsed="false">
      <c r="A6" s="4" t="s">
        <v>138</v>
      </c>
      <c r="B6" s="4" t="s">
        <v>53</v>
      </c>
      <c r="C6" s="4" t="s">
        <v>139</v>
      </c>
      <c r="D6" s="4" t="n">
        <v>2800</v>
      </c>
      <c r="E6" s="4" t="s">
        <v>140</v>
      </c>
      <c r="F6" s="4" t="n">
        <v>6</v>
      </c>
    </row>
    <row r="7" customFormat="false" ht="15" hidden="false" customHeight="false" outlineLevel="0" collapsed="false">
      <c r="A7" s="4" t="s">
        <v>141</v>
      </c>
      <c r="B7" s="4" t="s">
        <v>76</v>
      </c>
      <c r="C7" s="4" t="s">
        <v>142</v>
      </c>
      <c r="D7" s="4" t="n">
        <v>4500</v>
      </c>
      <c r="E7" s="4" t="s">
        <v>143</v>
      </c>
      <c r="F7" s="4" t="n">
        <v>4</v>
      </c>
    </row>
    <row r="8" customFormat="false" ht="15" hidden="false" customHeight="false" outlineLevel="0" collapsed="false">
      <c r="A8" s="4" t="s">
        <v>144</v>
      </c>
      <c r="B8" s="4" t="s">
        <v>90</v>
      </c>
      <c r="C8" s="4" t="s">
        <v>145</v>
      </c>
      <c r="D8" s="4" t="n">
        <v>45</v>
      </c>
      <c r="E8" s="4" t="s">
        <v>146</v>
      </c>
      <c r="F8" s="4" t="n">
        <v>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5"/>
    <col collapsed="false" customWidth="true" hidden="false" outlineLevel="0" max="3" min="3" style="0" width="12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147</v>
      </c>
      <c r="B1" s="1"/>
      <c r="C1" s="1"/>
      <c r="D1" s="1"/>
    </row>
    <row r="3" customFormat="false" ht="15" hidden="false" customHeight="false" outlineLevel="0" collapsed="false">
      <c r="A3" s="3" t="s">
        <v>148</v>
      </c>
      <c r="B3" s="3" t="s">
        <v>149</v>
      </c>
      <c r="C3" s="3" t="s">
        <v>150</v>
      </c>
      <c r="D3" s="3" t="s">
        <v>151</v>
      </c>
    </row>
    <row r="4" customFormat="false" ht="15" hidden="false" customHeight="false" outlineLevel="0" collapsed="false">
      <c r="A4" s="7" t="s">
        <v>152</v>
      </c>
      <c r="B4" s="7" t="s">
        <v>153</v>
      </c>
      <c r="C4" s="7" t="s">
        <v>154</v>
      </c>
      <c r="D4" s="7" t="s">
        <v>155</v>
      </c>
    </row>
    <row r="5" customFormat="false" ht="15" hidden="false" customHeight="false" outlineLevel="0" collapsed="false">
      <c r="A5" s="8" t="s">
        <v>156</v>
      </c>
      <c r="B5" s="8" t="s">
        <v>157</v>
      </c>
      <c r="C5" s="8" t="s">
        <v>158</v>
      </c>
      <c r="D5" s="8" t="s">
        <v>159</v>
      </c>
    </row>
    <row r="6" customFormat="false" ht="15" hidden="false" customHeight="false" outlineLevel="0" collapsed="false">
      <c r="A6" s="9" t="s">
        <v>160</v>
      </c>
      <c r="B6" s="9" t="s">
        <v>161</v>
      </c>
      <c r="C6" s="9" t="s">
        <v>162</v>
      </c>
      <c r="D6" s="9" t="s">
        <v>163</v>
      </c>
    </row>
    <row r="7" customFormat="false" ht="15" hidden="false" customHeight="false" outlineLevel="0" collapsed="false">
      <c r="A7" s="10" t="s">
        <v>164</v>
      </c>
      <c r="B7" s="10" t="s">
        <v>165</v>
      </c>
      <c r="C7" s="10" t="s">
        <v>166</v>
      </c>
      <c r="D7" s="10" t="s">
        <v>167</v>
      </c>
    </row>
    <row r="8" customFormat="false" ht="15" hidden="false" customHeight="false" outlineLevel="0" collapsed="false">
      <c r="A8" s="6" t="s">
        <v>168</v>
      </c>
      <c r="B8" s="6" t="s">
        <v>169</v>
      </c>
      <c r="C8" s="6" t="s">
        <v>170</v>
      </c>
      <c r="D8" s="6" t="s">
        <v>171</v>
      </c>
    </row>
    <row r="10" customFormat="false" ht="15" hidden="false" customHeight="false" outlineLevel="0" collapsed="false">
      <c r="A10" s="11" t="s">
        <v>172</v>
      </c>
    </row>
    <row r="11" customFormat="false" ht="15" hidden="false" customHeight="false" outlineLevel="0" collapsed="false">
      <c r="A11" s="12" t="s">
        <v>173</v>
      </c>
    </row>
    <row r="12" customFormat="false" ht="15" hidden="false" customHeight="false" outlineLevel="0" collapsed="false">
      <c r="A12" s="12" t="s">
        <v>174</v>
      </c>
    </row>
    <row r="13" customFormat="false" ht="15" hidden="false" customHeight="false" outlineLevel="0" collapsed="false">
      <c r="A13" s="12" t="s">
        <v>175</v>
      </c>
    </row>
    <row r="14" customFormat="false" ht="15" hidden="false" customHeight="false" outlineLevel="0" collapsed="false">
      <c r="A14" s="12" t="s">
        <v>176</v>
      </c>
    </row>
    <row r="15" customFormat="false" ht="15" hidden="false" customHeight="false" outlineLevel="0" collapsed="false">
      <c r="A15" s="12" t="s">
        <v>177</v>
      </c>
    </row>
    <row r="16" customFormat="false" ht="15" hidden="false" customHeight="false" outlineLevel="0" collapsed="false">
      <c r="A16" s="12" t="s">
        <v>178</v>
      </c>
    </row>
    <row r="17" customFormat="false" ht="15" hidden="false" customHeight="false" outlineLevel="0" collapsed="false">
      <c r="A17" s="12" t="s">
        <v>179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2026-02-26T13:40:13Z</dcterms:created>
  <dc:creator>openpyxl</dc:creator>
  <dc:description/>
  <dc:language>en-US</dc:language>
  <cp:lastModifiedBy/>
  <dcterms:modified xsi:type="dcterms:W3CDTF">2026-02-26T13:40:13Z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